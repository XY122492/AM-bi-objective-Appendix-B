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balikesiredutr-my.sharepoint.com/personal/ikucukkoc_balikesir_edu_tr/Documents/Yayinlar/2026/2 ISWPE26 Innsbruck/"/>
    </mc:Choice>
  </mc:AlternateContent>
  <xr:revisionPtr revIDLastSave="2" documentId="13_ncr:1_{F56BB155-440A-4EC8-BD35-E4C0CDEC7E5A}" xr6:coauthVersionLast="47" xr6:coauthVersionMax="47" xr10:uidLastSave="{0258EBDD-F76E-4897-B762-297283D033B6}"/>
  <bookViews>
    <workbookView xWindow="-108" yWindow="-108" windowWidth="23256" windowHeight="12456" xr2:uid="{00000000-000D-0000-FFFF-FFFF00000000}"/>
  </bookViews>
  <sheets>
    <sheet name="costbreakdown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4" l="1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C23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C11" i="4"/>
</calcChain>
</file>

<file path=xl/sharedStrings.xml><?xml version="1.0" encoding="utf-8"?>
<sst xmlns="http://schemas.openxmlformats.org/spreadsheetml/2006/main" count="77" uniqueCount="30">
  <si>
    <t>8Parts</t>
  </si>
  <si>
    <t>10Parts</t>
  </si>
  <si>
    <t>12Parts</t>
  </si>
  <si>
    <t>15Parts</t>
  </si>
  <si>
    <t>18Parts</t>
  </si>
  <si>
    <t>20Parts</t>
  </si>
  <si>
    <t>22Parts</t>
  </si>
  <si>
    <t>16Parts</t>
  </si>
  <si>
    <t>Ctot</t>
  </si>
  <si>
    <t>Cetot</t>
  </si>
  <si>
    <t xml:space="preserve">CTOT total costs </t>
  </si>
  <si>
    <t>Cmachtot total machines operating costs</t>
  </si>
  <si>
    <t>Crawmattot total raw material costs</t>
  </si>
  <si>
    <t>Cstot total set-up costs</t>
  </si>
  <si>
    <t xml:space="preserve">Centot total energy costs </t>
  </si>
  <si>
    <t>CEtot total CO2,eq emissions</t>
  </si>
  <si>
    <t>25Parts</t>
  </si>
  <si>
    <t>28Parts</t>
  </si>
  <si>
    <t>30Parts</t>
  </si>
  <si>
    <t>33Parts</t>
  </si>
  <si>
    <t>35Parts</t>
  </si>
  <si>
    <t>38Parts</t>
  </si>
  <si>
    <t>43Parts</t>
  </si>
  <si>
    <t>45Parts</t>
  </si>
  <si>
    <t>48Parts</t>
  </si>
  <si>
    <t>50Parts</t>
  </si>
  <si>
    <t>55Parts</t>
  </si>
  <si>
    <t>60Parts</t>
  </si>
  <si>
    <t>40Parts</t>
  </si>
  <si>
    <t>&amp;(mac+rawmat)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</si>
</sst>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5" xfId="0" applyBorder="1"/>
    <xf numFmtId="0" fontId="0" fillId="0" borderId="8" xfId="0" applyBorder="1"/>
    <xf numFmtId="0" fontId="0" fillId="0" borderId="7" xfId="0" applyBorder="1"/>
    <xf numFmtId="0" fontId="0" fillId="0" borderId="6" xfId="0" applyBorder="1"/>
    <xf numFmtId="0" fontId="0" fillId="0" borderId="10" xfId="0" applyBorder="1"/>
    <xf numFmtId="0" fontId="0" fillId="0" borderId="2" xfId="0" applyBorder="1"/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0" fontId="1" fillId="0" borderId="6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0" xfId="0" applyFont="1"/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4EE8-4060-4A48-996B-0BBE82CC118E}">
  <dimension ref="B1:X23"/>
  <sheetViews>
    <sheetView tabSelected="1" workbookViewId="0">
      <selection activeCell="Z8" sqref="Z8"/>
    </sheetView>
  </sheetViews>
  <sheetFormatPr defaultRowHeight="14.4" x14ac:dyDescent="0.3"/>
  <cols>
    <col min="2" max="2" width="35.77734375" bestFit="1" customWidth="1"/>
  </cols>
  <sheetData>
    <row r="1" spans="2:24" ht="15" thickBot="1" x14ac:dyDescent="0.35"/>
    <row r="2" spans="2:24" ht="15" thickBot="1" x14ac:dyDescent="0.35">
      <c r="C2" s="31" t="s">
        <v>0</v>
      </c>
      <c r="D2" s="33"/>
      <c r="E2" s="31" t="s">
        <v>1</v>
      </c>
      <c r="F2" s="32"/>
      <c r="G2" s="31" t="s">
        <v>2</v>
      </c>
      <c r="H2" s="32"/>
      <c r="I2" s="31" t="s">
        <v>3</v>
      </c>
      <c r="J2" s="32"/>
      <c r="K2" s="31" t="s">
        <v>7</v>
      </c>
      <c r="L2" s="32"/>
      <c r="M2" s="31" t="s">
        <v>4</v>
      </c>
      <c r="N2" s="32"/>
      <c r="O2" s="31" t="s">
        <v>5</v>
      </c>
      <c r="P2" s="32"/>
      <c r="Q2" s="31" t="s">
        <v>6</v>
      </c>
      <c r="R2" s="32"/>
      <c r="S2" s="31" t="s">
        <v>16</v>
      </c>
      <c r="T2" s="32"/>
      <c r="U2" s="33" t="s">
        <v>17</v>
      </c>
      <c r="V2" s="32"/>
    </row>
    <row r="3" spans="2:24" ht="15" thickBot="1" x14ac:dyDescent="0.35">
      <c r="C3" s="21" t="s">
        <v>8</v>
      </c>
      <c r="D3" s="21" t="s">
        <v>9</v>
      </c>
      <c r="E3" s="21" t="s">
        <v>8</v>
      </c>
      <c r="F3" s="22" t="s">
        <v>9</v>
      </c>
      <c r="G3" s="21" t="s">
        <v>8</v>
      </c>
      <c r="H3" s="22" t="s">
        <v>9</v>
      </c>
      <c r="I3" s="21" t="s">
        <v>8</v>
      </c>
      <c r="J3" s="22" t="s">
        <v>9</v>
      </c>
      <c r="K3" s="21" t="s">
        <v>8</v>
      </c>
      <c r="L3" s="22" t="s">
        <v>9</v>
      </c>
      <c r="M3" s="21" t="s">
        <v>8</v>
      </c>
      <c r="N3" s="22" t="s">
        <v>9</v>
      </c>
      <c r="O3" s="21" t="s">
        <v>8</v>
      </c>
      <c r="P3" s="23" t="s">
        <v>9</v>
      </c>
      <c r="Q3" s="21" t="s">
        <v>8</v>
      </c>
      <c r="R3" s="22" t="s">
        <v>9</v>
      </c>
      <c r="S3" s="21" t="s">
        <v>8</v>
      </c>
      <c r="T3" s="22" t="s">
        <v>9</v>
      </c>
      <c r="U3" s="24" t="s">
        <v>8</v>
      </c>
      <c r="V3" s="22" t="s">
        <v>9</v>
      </c>
    </row>
    <row r="4" spans="2:24" x14ac:dyDescent="0.3">
      <c r="B4" s="25" t="s">
        <v>10</v>
      </c>
      <c r="C4" s="14">
        <v>16836.638814063699</v>
      </c>
      <c r="D4" s="17">
        <v>17859.392619999999</v>
      </c>
      <c r="E4" s="8">
        <v>20848.4121279225</v>
      </c>
      <c r="F4" s="9">
        <v>22002.808149999899</v>
      </c>
      <c r="G4" s="8">
        <v>27735.156479990001</v>
      </c>
      <c r="H4" s="9">
        <v>29565.454409999998</v>
      </c>
      <c r="I4" s="8">
        <v>29063.759403729899</v>
      </c>
      <c r="J4" s="9">
        <v>30943.211899999998</v>
      </c>
      <c r="K4" s="8">
        <v>29925.184300948698</v>
      </c>
      <c r="L4" s="9">
        <v>31778.41</v>
      </c>
      <c r="M4" s="8">
        <v>33374.383254083703</v>
      </c>
      <c r="N4" s="9">
        <v>35500.573989999997</v>
      </c>
      <c r="O4" s="8">
        <v>39136.888576723701</v>
      </c>
      <c r="P4" s="9">
        <v>41617.14862</v>
      </c>
      <c r="Q4" s="8">
        <v>49986.794011907397</v>
      </c>
      <c r="R4" s="9">
        <v>53277.2919426437</v>
      </c>
      <c r="S4" s="8">
        <v>53523.216988927401</v>
      </c>
      <c r="T4" s="9">
        <v>57245.876889999898</v>
      </c>
      <c r="U4" s="14">
        <v>57885.610370206203</v>
      </c>
      <c r="V4" s="9">
        <v>61858.435499999898</v>
      </c>
    </row>
    <row r="5" spans="2:24" x14ac:dyDescent="0.3">
      <c r="B5" s="26" t="s">
        <v>11</v>
      </c>
      <c r="C5" s="15">
        <v>9422.4209506499992</v>
      </c>
      <c r="D5" s="18">
        <v>10477.900799999999</v>
      </c>
      <c r="E5" s="10">
        <v>11552.9581447</v>
      </c>
      <c r="F5" s="11">
        <v>12834.846</v>
      </c>
      <c r="G5" s="10">
        <v>15333.4310948</v>
      </c>
      <c r="H5" s="11">
        <v>17272.0043999999</v>
      </c>
      <c r="I5" s="10">
        <v>16186.9544395999</v>
      </c>
      <c r="J5" s="11">
        <v>18125.495999999999</v>
      </c>
      <c r="K5" s="10">
        <v>16667.600980849998</v>
      </c>
      <c r="L5" s="11">
        <v>18594.900000000001</v>
      </c>
      <c r="M5" s="10">
        <v>18484.739561049901</v>
      </c>
      <c r="N5" s="11">
        <v>20730.351600000002</v>
      </c>
      <c r="O5" s="10">
        <v>21697.27133385</v>
      </c>
      <c r="P5" s="11">
        <v>24320.4408</v>
      </c>
      <c r="Q5" s="10">
        <v>27637.280066899999</v>
      </c>
      <c r="R5" s="11">
        <v>31025.824012249901</v>
      </c>
      <c r="S5" s="10">
        <v>29585.5551172999</v>
      </c>
      <c r="T5" s="11">
        <v>33479.787599999901</v>
      </c>
      <c r="U5" s="15">
        <v>31994.061569749902</v>
      </c>
      <c r="V5" s="11">
        <v>36139.319999999898</v>
      </c>
    </row>
    <row r="6" spans="2:24" x14ac:dyDescent="0.3">
      <c r="B6" s="26" t="s">
        <v>12</v>
      </c>
      <c r="C6" s="15">
        <v>7011.4271999999901</v>
      </c>
      <c r="D6" s="18">
        <v>7012.5567999999903</v>
      </c>
      <c r="E6" s="10">
        <v>8776.9213999999902</v>
      </c>
      <c r="F6" s="11">
        <v>8740.1034999999993</v>
      </c>
      <c r="G6" s="10">
        <v>11761.677599999901</v>
      </c>
      <c r="H6" s="11">
        <v>11718.999900000001</v>
      </c>
      <c r="I6" s="10">
        <v>12187.1131999999</v>
      </c>
      <c r="J6" s="11">
        <v>12186.266</v>
      </c>
      <c r="K6" s="10">
        <v>12553.4213</v>
      </c>
      <c r="L6" s="11">
        <v>12540.324999999901</v>
      </c>
      <c r="M6" s="10">
        <v>14074.7101</v>
      </c>
      <c r="N6" s="11">
        <v>14073.651099999999</v>
      </c>
      <c r="O6" s="10">
        <v>16521.423699999999</v>
      </c>
      <c r="P6" s="11">
        <v>16474.721799999999</v>
      </c>
      <c r="Q6" s="10">
        <v>21166.797799999898</v>
      </c>
      <c r="R6" s="11">
        <v>21166.797799999898</v>
      </c>
      <c r="S6" s="10">
        <v>22692.3226</v>
      </c>
      <c r="T6" s="11">
        <v>22608.132099999999</v>
      </c>
      <c r="U6" s="15">
        <v>24495.199499999999</v>
      </c>
      <c r="V6" s="11">
        <v>24494.67</v>
      </c>
    </row>
    <row r="7" spans="2:24" x14ac:dyDescent="0.3">
      <c r="B7" s="26" t="s">
        <v>13</v>
      </c>
      <c r="C7" s="15">
        <v>111</v>
      </c>
      <c r="D7" s="18">
        <v>108</v>
      </c>
      <c r="E7" s="10">
        <v>150</v>
      </c>
      <c r="F7" s="11">
        <v>108</v>
      </c>
      <c r="G7" s="10">
        <v>150</v>
      </c>
      <c r="H7" s="11">
        <v>144</v>
      </c>
      <c r="I7" s="10">
        <v>186</v>
      </c>
      <c r="J7" s="11">
        <v>180</v>
      </c>
      <c r="K7" s="10">
        <v>186</v>
      </c>
      <c r="L7" s="11">
        <v>180</v>
      </c>
      <c r="M7" s="10">
        <v>225</v>
      </c>
      <c r="N7" s="11">
        <v>180</v>
      </c>
      <c r="O7" s="10">
        <v>225</v>
      </c>
      <c r="P7" s="11">
        <v>216</v>
      </c>
      <c r="Q7" s="10">
        <v>300</v>
      </c>
      <c r="R7" s="11">
        <v>291</v>
      </c>
      <c r="S7" s="10">
        <v>300</v>
      </c>
      <c r="T7" s="11">
        <v>324</v>
      </c>
      <c r="U7" s="15">
        <v>375</v>
      </c>
      <c r="V7" s="11">
        <v>324</v>
      </c>
    </row>
    <row r="8" spans="2:24" x14ac:dyDescent="0.3">
      <c r="B8" s="26" t="s">
        <v>14</v>
      </c>
      <c r="C8" s="15">
        <v>291.79066341375</v>
      </c>
      <c r="D8" s="18">
        <v>260.93502000000001</v>
      </c>
      <c r="E8" s="10">
        <v>368.532583222499</v>
      </c>
      <c r="F8" s="11">
        <v>319.85864999999899</v>
      </c>
      <c r="G8" s="10">
        <v>490.04778519000098</v>
      </c>
      <c r="H8" s="11">
        <v>430.45011</v>
      </c>
      <c r="I8" s="10">
        <v>503.691764129999</v>
      </c>
      <c r="J8" s="11">
        <v>451.44989999999899</v>
      </c>
      <c r="K8" s="10">
        <v>518.16202009874996</v>
      </c>
      <c r="L8" s="11">
        <v>463.185</v>
      </c>
      <c r="M8" s="10">
        <v>589.93359303374905</v>
      </c>
      <c r="N8" s="11">
        <v>516.57128999999998</v>
      </c>
      <c r="O8" s="10">
        <v>693.19354287374995</v>
      </c>
      <c r="P8" s="11">
        <v>605.98601999999903</v>
      </c>
      <c r="Q8" s="10">
        <v>882.71614500750002</v>
      </c>
      <c r="R8" s="11">
        <v>793.67013039375001</v>
      </c>
      <c r="S8" s="10">
        <v>945.33927162749899</v>
      </c>
      <c r="T8" s="11">
        <v>833.95718999999895</v>
      </c>
      <c r="U8" s="15">
        <v>1021.34930045624</v>
      </c>
      <c r="V8" s="11">
        <v>900.44549999999902</v>
      </c>
    </row>
    <row r="9" spans="2:24" ht="15" thickBot="1" x14ac:dyDescent="0.35">
      <c r="B9" s="27" t="s">
        <v>15</v>
      </c>
      <c r="C9" s="16">
        <v>2.9087111941447401</v>
      </c>
      <c r="D9" s="19">
        <v>2.8535550359999902</v>
      </c>
      <c r="E9" s="12">
        <v>3.6470146498004898</v>
      </c>
      <c r="F9" s="13">
        <v>3.5468855699999899</v>
      </c>
      <c r="G9" s="12">
        <v>4.8803900133419997</v>
      </c>
      <c r="H9" s="13">
        <v>4.7586061979999998</v>
      </c>
      <c r="I9" s="12">
        <v>5.0495731754339896</v>
      </c>
      <c r="J9" s="13">
        <v>4.9552498199999899</v>
      </c>
      <c r="K9" s="12">
        <v>5.2001436361777396</v>
      </c>
      <c r="L9" s="13">
        <v>5.0967329999999897</v>
      </c>
      <c r="M9" s="12">
        <v>5.8464844674607397</v>
      </c>
      <c r="N9" s="13">
        <v>5.71407232199999</v>
      </c>
      <c r="O9" s="12">
        <v>6.8640963771727401</v>
      </c>
      <c r="P9" s="13">
        <v>6.6912468359999897</v>
      </c>
      <c r="Q9" s="12">
        <v>8.7844010610135008</v>
      </c>
      <c r="R9" s="13">
        <v>8.6241182347087495</v>
      </c>
      <c r="S9" s="12">
        <v>9.4157146889294996</v>
      </c>
      <c r="T9" s="13">
        <v>9.1866069419999992</v>
      </c>
      <c r="U9" s="16">
        <v>10.165408740821199</v>
      </c>
      <c r="V9" s="13">
        <v>9.9476018999999898</v>
      </c>
    </row>
    <row r="10" spans="2:24" x14ac:dyDescent="0.3">
      <c r="B10" s="30"/>
      <c r="C10" s="4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7"/>
    </row>
    <row r="11" spans="2:24" x14ac:dyDescent="0.3">
      <c r="B11" s="30" t="s">
        <v>29</v>
      </c>
      <c r="C11" s="2">
        <f>(C5+C6)/C4</f>
        <v>0.97607653951231299</v>
      </c>
      <c r="D11">
        <f t="shared" ref="D11:V11" si="0">(D5+D6)/D4</f>
        <v>0.97934224148323767</v>
      </c>
      <c r="E11">
        <f t="shared" si="0"/>
        <v>0.97512843759798695</v>
      </c>
      <c r="F11">
        <f t="shared" si="0"/>
        <v>0.98055436164861065</v>
      </c>
      <c r="G11">
        <f t="shared" si="0"/>
        <v>0.97692287095434727</v>
      </c>
      <c r="H11">
        <f t="shared" si="0"/>
        <v>0.98057022557360718</v>
      </c>
      <c r="I11">
        <f t="shared" si="0"/>
        <v>0.97626969881805503</v>
      </c>
      <c r="J11">
        <f t="shared" si="0"/>
        <v>0.97959326581737305</v>
      </c>
      <c r="K11">
        <f t="shared" si="0"/>
        <v>0.97646925034722754</v>
      </c>
      <c r="L11">
        <f t="shared" si="0"/>
        <v>0.97976031525806051</v>
      </c>
      <c r="M11">
        <f t="shared" si="0"/>
        <v>0.97558206284054438</v>
      </c>
      <c r="N11">
        <f t="shared" si="0"/>
        <v>0.98037859077444178</v>
      </c>
      <c r="O11">
        <f t="shared" si="0"/>
        <v>0.97653892334660997</v>
      </c>
      <c r="P11">
        <f t="shared" si="0"/>
        <v>0.98024886261417288</v>
      </c>
      <c r="Q11">
        <f t="shared" si="0"/>
        <v>0.97633942787517514</v>
      </c>
      <c r="R11">
        <f t="shared" si="0"/>
        <v>0.97964104234949445</v>
      </c>
      <c r="S11">
        <f t="shared" si="0"/>
        <v>0.97673272755848861</v>
      </c>
      <c r="T11">
        <f t="shared" si="0"/>
        <v>0.97977221674453407</v>
      </c>
      <c r="U11">
        <f t="shared" si="0"/>
        <v>0.97587743669754923</v>
      </c>
      <c r="V11" s="5">
        <f t="shared" si="0"/>
        <v>0.98020568269949204</v>
      </c>
    </row>
    <row r="12" spans="2:24" x14ac:dyDescent="0.3">
      <c r="B12" s="30"/>
      <c r="C12" s="2"/>
      <c r="V12" s="5"/>
    </row>
    <row r="13" spans="2:24" ht="15" thickBot="1" x14ac:dyDescent="0.35">
      <c r="B13" s="30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6"/>
    </row>
    <row r="14" spans="2:24" ht="15" thickBot="1" x14ac:dyDescent="0.35">
      <c r="C14" s="31" t="s">
        <v>18</v>
      </c>
      <c r="D14" s="32"/>
      <c r="E14" s="33" t="s">
        <v>19</v>
      </c>
      <c r="F14" s="32"/>
      <c r="G14" s="31" t="s">
        <v>20</v>
      </c>
      <c r="H14" s="32"/>
      <c r="I14" s="33" t="s">
        <v>21</v>
      </c>
      <c r="J14" s="32"/>
      <c r="K14" s="33" t="s">
        <v>28</v>
      </c>
      <c r="L14" s="32"/>
      <c r="M14" s="33" t="s">
        <v>22</v>
      </c>
      <c r="N14" s="32"/>
      <c r="O14" s="33" t="s">
        <v>23</v>
      </c>
      <c r="P14" s="32"/>
      <c r="Q14" s="33" t="s">
        <v>24</v>
      </c>
      <c r="R14" s="32"/>
      <c r="S14" s="33" t="s">
        <v>25</v>
      </c>
      <c r="T14" s="32"/>
      <c r="U14" s="31" t="s">
        <v>26</v>
      </c>
      <c r="V14" s="32"/>
      <c r="W14" s="33" t="s">
        <v>27</v>
      </c>
      <c r="X14" s="32"/>
    </row>
    <row r="15" spans="2:24" ht="15" thickBot="1" x14ac:dyDescent="0.35">
      <c r="C15" s="28" t="s">
        <v>8</v>
      </c>
      <c r="D15" s="29" t="s">
        <v>9</v>
      </c>
      <c r="E15" s="24" t="s">
        <v>8</v>
      </c>
      <c r="F15" s="22" t="s">
        <v>9</v>
      </c>
      <c r="G15" s="21" t="s">
        <v>8</v>
      </c>
      <c r="H15" s="22" t="s">
        <v>9</v>
      </c>
      <c r="I15" s="24" t="s">
        <v>8</v>
      </c>
      <c r="J15" s="22" t="s">
        <v>9</v>
      </c>
      <c r="K15" s="24" t="s">
        <v>8</v>
      </c>
      <c r="L15" s="22" t="s">
        <v>9</v>
      </c>
      <c r="M15" s="24" t="s">
        <v>8</v>
      </c>
      <c r="N15" s="22" t="s">
        <v>9</v>
      </c>
      <c r="O15" s="24" t="s">
        <v>8</v>
      </c>
      <c r="P15" s="22" t="s">
        <v>9</v>
      </c>
      <c r="Q15" s="24" t="s">
        <v>8</v>
      </c>
      <c r="R15" s="22" t="s">
        <v>9</v>
      </c>
      <c r="S15" s="24" t="s">
        <v>8</v>
      </c>
      <c r="T15" s="22" t="s">
        <v>9</v>
      </c>
      <c r="U15" s="28" t="s">
        <v>8</v>
      </c>
      <c r="V15" s="29" t="s">
        <v>9</v>
      </c>
      <c r="W15" s="24" t="s">
        <v>8</v>
      </c>
      <c r="X15" s="22" t="s">
        <v>9</v>
      </c>
    </row>
    <row r="16" spans="2:24" x14ac:dyDescent="0.3">
      <c r="B16" s="25" t="s">
        <v>10</v>
      </c>
      <c r="C16" s="14">
        <v>63182.689569636197</v>
      </c>
      <c r="D16" s="9">
        <v>67589.212069999907</v>
      </c>
      <c r="E16" s="14">
        <v>72413.797197866195</v>
      </c>
      <c r="F16" s="9">
        <v>77452.658999999898</v>
      </c>
      <c r="G16" s="8">
        <v>72858.232313567496</v>
      </c>
      <c r="H16" s="9">
        <v>78141.482929999998</v>
      </c>
      <c r="I16" s="14">
        <v>76806.531279939998</v>
      </c>
      <c r="J16" s="9">
        <v>82062.004209999999</v>
      </c>
      <c r="K16" s="14">
        <v>78845.427557706207</v>
      </c>
      <c r="L16" s="9">
        <v>84342.932669999995</v>
      </c>
      <c r="M16" s="14">
        <v>80615.353594860004</v>
      </c>
      <c r="N16" s="9">
        <v>86146.386079999997</v>
      </c>
      <c r="O16" s="14">
        <v>83122.814411292493</v>
      </c>
      <c r="P16" s="9">
        <v>89016.25202</v>
      </c>
      <c r="Q16" s="14">
        <v>84209.0291743337</v>
      </c>
      <c r="R16" s="9">
        <v>89873.771389999994</v>
      </c>
      <c r="S16" s="14">
        <v>89095.908727614995</v>
      </c>
      <c r="T16" s="9">
        <v>95405.292669999995</v>
      </c>
      <c r="U16" s="14">
        <v>103638.30648099</v>
      </c>
      <c r="V16" s="9">
        <v>107529.847729114</v>
      </c>
      <c r="W16" s="14">
        <v>105791.324930452</v>
      </c>
      <c r="X16" s="9">
        <v>109858.841339557</v>
      </c>
    </row>
    <row r="17" spans="2:24" x14ac:dyDescent="0.3">
      <c r="B17" s="26" t="s">
        <v>11</v>
      </c>
      <c r="C17" s="15">
        <v>34939.250773349901</v>
      </c>
      <c r="D17" s="11">
        <v>39507.238799999897</v>
      </c>
      <c r="E17" s="15">
        <v>40015.852952949899</v>
      </c>
      <c r="F17" s="11">
        <v>45255.059999999903</v>
      </c>
      <c r="G17" s="10">
        <v>40278.487930099902</v>
      </c>
      <c r="H17" s="11">
        <v>45733.561199999996</v>
      </c>
      <c r="I17" s="15">
        <v>42479.884568799898</v>
      </c>
      <c r="J17" s="11">
        <v>47985.8364</v>
      </c>
      <c r="K17" s="15">
        <v>43608.374069749902</v>
      </c>
      <c r="L17" s="11">
        <v>49324.042799999901</v>
      </c>
      <c r="M17" s="15">
        <v>44612.730327199999</v>
      </c>
      <c r="N17" s="11">
        <v>50371.207199999997</v>
      </c>
      <c r="O17" s="15">
        <v>46007.669997099903</v>
      </c>
      <c r="P17" s="11">
        <v>52121.296799999996</v>
      </c>
      <c r="Q17" s="15">
        <v>46647.330591049897</v>
      </c>
      <c r="R17" s="11">
        <v>52598.667599999899</v>
      </c>
      <c r="S17" s="15">
        <v>49282.956109799998</v>
      </c>
      <c r="T17" s="11">
        <v>55845.442799999902</v>
      </c>
      <c r="U17" s="15">
        <v>57407.9612147999</v>
      </c>
      <c r="V17" s="11">
        <v>61481.722689799899</v>
      </c>
      <c r="W17" s="15">
        <v>58710.709960299901</v>
      </c>
      <c r="X17" s="11">
        <v>62882.936544899901</v>
      </c>
    </row>
    <row r="18" spans="2:24" x14ac:dyDescent="0.3">
      <c r="B18" s="26" t="s">
        <v>12</v>
      </c>
      <c r="C18" s="15">
        <v>26752.422699999901</v>
      </c>
      <c r="D18" s="11">
        <v>26737.667299999899</v>
      </c>
      <c r="E18" s="15">
        <v>30670.157899999998</v>
      </c>
      <c r="F18" s="11">
        <v>30673.934999999899</v>
      </c>
      <c r="G18" s="10">
        <v>30843.516199999998</v>
      </c>
      <c r="H18" s="11">
        <v>30836.632699999998</v>
      </c>
      <c r="I18" s="15">
        <v>32446.065600000002</v>
      </c>
      <c r="J18" s="11">
        <v>32448.571899999999</v>
      </c>
      <c r="K18" s="15">
        <v>33320.199500000002</v>
      </c>
      <c r="L18" s="11">
        <v>33322.176299999999</v>
      </c>
      <c r="M18" s="15">
        <v>34053.486400000002</v>
      </c>
      <c r="N18" s="11">
        <v>34052.286200000002</v>
      </c>
      <c r="O18" s="15">
        <v>35121.1702</v>
      </c>
      <c r="P18" s="11">
        <v>35092.647799999999</v>
      </c>
      <c r="Q18" s="15">
        <v>35473.570099999997</v>
      </c>
      <c r="R18" s="11">
        <v>35460.862099999998</v>
      </c>
      <c r="S18" s="15">
        <v>37640.107600000003</v>
      </c>
      <c r="T18" s="11">
        <v>37628.776299999998</v>
      </c>
      <c r="U18" s="15">
        <v>43818.984299999996</v>
      </c>
      <c r="V18" s="11">
        <v>43714.249199999998</v>
      </c>
      <c r="W18" s="15">
        <v>44603.2091</v>
      </c>
      <c r="X18" s="11">
        <v>44529.891000000003</v>
      </c>
    </row>
    <row r="19" spans="2:24" x14ac:dyDescent="0.3">
      <c r="B19" s="26" t="s">
        <v>13</v>
      </c>
      <c r="C19" s="15">
        <v>375</v>
      </c>
      <c r="D19" s="11">
        <v>360</v>
      </c>
      <c r="E19" s="15">
        <v>450</v>
      </c>
      <c r="F19" s="11">
        <v>396</v>
      </c>
      <c r="G19" s="10">
        <v>450</v>
      </c>
      <c r="H19" s="11">
        <v>432</v>
      </c>
      <c r="I19" s="15">
        <v>525</v>
      </c>
      <c r="J19" s="11">
        <v>432</v>
      </c>
      <c r="K19" s="15">
        <v>525</v>
      </c>
      <c r="L19" s="11">
        <v>468</v>
      </c>
      <c r="M19" s="15">
        <v>525</v>
      </c>
      <c r="N19" s="11">
        <v>468</v>
      </c>
      <c r="O19" s="15">
        <v>525</v>
      </c>
      <c r="P19" s="11">
        <v>504</v>
      </c>
      <c r="Q19" s="15">
        <v>600</v>
      </c>
      <c r="R19" s="11">
        <v>504</v>
      </c>
      <c r="S19" s="15">
        <v>600</v>
      </c>
      <c r="T19" s="11">
        <v>540</v>
      </c>
      <c r="U19" s="15">
        <v>597</v>
      </c>
      <c r="V19" s="11">
        <v>627</v>
      </c>
      <c r="W19" s="15">
        <v>633</v>
      </c>
      <c r="X19" s="11">
        <v>702</v>
      </c>
    </row>
    <row r="20" spans="2:24" x14ac:dyDescent="0.3">
      <c r="B20" s="26" t="s">
        <v>14</v>
      </c>
      <c r="C20" s="15">
        <v>1116.0160962862401</v>
      </c>
      <c r="D20" s="11">
        <v>984.30596999999898</v>
      </c>
      <c r="E20" s="15">
        <v>1277.7863449162401</v>
      </c>
      <c r="F20" s="11">
        <v>1127.66399999999</v>
      </c>
      <c r="G20" s="10">
        <v>1286.22818346749</v>
      </c>
      <c r="H20" s="11">
        <v>1139.2890299999899</v>
      </c>
      <c r="I20" s="15">
        <v>1355.5811111399901</v>
      </c>
      <c r="J20" s="11">
        <v>1195.59590999999</v>
      </c>
      <c r="K20" s="15">
        <v>1391.85398795624</v>
      </c>
      <c r="L20" s="11">
        <v>1228.7135699999901</v>
      </c>
      <c r="M20" s="15">
        <v>1424.13686765999</v>
      </c>
      <c r="N20" s="11">
        <v>1254.8926799999899</v>
      </c>
      <c r="O20" s="15">
        <v>1468.9742141924901</v>
      </c>
      <c r="P20" s="11">
        <v>1298.3074199999901</v>
      </c>
      <c r="Q20" s="15">
        <v>1488.12848328374</v>
      </c>
      <c r="R20" s="11">
        <v>1310.2416899999901</v>
      </c>
      <c r="S20" s="15">
        <v>1572.8450178149899</v>
      </c>
      <c r="T20" s="11">
        <v>1391.07356999999</v>
      </c>
      <c r="U20" s="15">
        <v>1814.36096618999</v>
      </c>
      <c r="V20" s="11">
        <v>1706.8758393149899</v>
      </c>
      <c r="W20" s="15">
        <v>1844.40587015249</v>
      </c>
      <c r="X20" s="11">
        <v>1744.0137946574901</v>
      </c>
    </row>
    <row r="21" spans="2:24" ht="15" thickBot="1" x14ac:dyDescent="0.35">
      <c r="B21" s="27" t="s">
        <v>15</v>
      </c>
      <c r="C21" s="16">
        <v>11.1031369733152</v>
      </c>
      <c r="D21" s="13">
        <v>10.861042745999899</v>
      </c>
      <c r="E21" s="16">
        <v>12.7261314208492</v>
      </c>
      <c r="F21" s="13">
        <v>12.4571951999999</v>
      </c>
      <c r="G21" s="12">
        <v>12.800258730241501</v>
      </c>
      <c r="H21" s="13">
        <v>12.533428253999899</v>
      </c>
      <c r="I21" s="16">
        <v>13.469870000052</v>
      </c>
      <c r="J21" s="13">
        <v>13.182748638</v>
      </c>
      <c r="K21" s="16">
        <v>13.832317178321199</v>
      </c>
      <c r="L21" s="13">
        <v>13.539336426</v>
      </c>
      <c r="M21" s="16">
        <v>14.139702361788</v>
      </c>
      <c r="N21" s="13">
        <v>13.834654823999999</v>
      </c>
      <c r="O21" s="16">
        <v>14.5833615855465</v>
      </c>
      <c r="P21" s="13">
        <v>14.266465355999999</v>
      </c>
      <c r="Q21" s="16">
        <v>14.737635269910699</v>
      </c>
      <c r="R21" s="13">
        <v>14.413119042</v>
      </c>
      <c r="S21" s="16">
        <v>15.626625032067</v>
      </c>
      <c r="T21" s="13">
        <v>15.295584426</v>
      </c>
      <c r="U21" s="16">
        <v>18.161821739141999</v>
      </c>
      <c r="V21" s="13">
        <v>17.932744510767002</v>
      </c>
      <c r="W21" s="16">
        <v>18.482494566274401</v>
      </c>
      <c r="X21" s="13">
        <v>1744.0137946574901</v>
      </c>
    </row>
    <row r="23" spans="2:24" x14ac:dyDescent="0.3">
      <c r="B23" s="30" t="s">
        <v>29</v>
      </c>
      <c r="C23">
        <f>(C17+C18)/C16</f>
        <v>0.97640150955202554</v>
      </c>
      <c r="D23">
        <f t="shared" ref="D23:X23" si="1">(D17+D18)/D16</f>
        <v>0.98011064297349904</v>
      </c>
      <c r="E23">
        <f t="shared" si="1"/>
        <v>0.97614009468119411</v>
      </c>
      <c r="F23">
        <f t="shared" si="1"/>
        <v>0.9803278025613027</v>
      </c>
      <c r="G23">
        <f t="shared" si="1"/>
        <v>0.97616977343074685</v>
      </c>
      <c r="H23">
        <f t="shared" si="1"/>
        <v>0.97989174288632863</v>
      </c>
      <c r="I23">
        <f t="shared" si="1"/>
        <v>0.97551534902304249</v>
      </c>
      <c r="J23">
        <f t="shared" si="1"/>
        <v>0.98016626664595075</v>
      </c>
      <c r="K23">
        <f t="shared" si="1"/>
        <v>0.97568845718347619</v>
      </c>
      <c r="L23">
        <f t="shared" si="1"/>
        <v>0.97988315658125558</v>
      </c>
      <c r="M23">
        <f t="shared" si="1"/>
        <v>0.97582176619288208</v>
      </c>
      <c r="N23">
        <f t="shared" si="1"/>
        <v>0.98000040676807931</v>
      </c>
      <c r="O23">
        <f t="shared" si="1"/>
        <v>0.97601170956115135</v>
      </c>
      <c r="P23">
        <f t="shared" si="1"/>
        <v>0.97975305206519958</v>
      </c>
      <c r="Q23">
        <f t="shared" si="1"/>
        <v>0.97520303340677572</v>
      </c>
      <c r="R23">
        <f t="shared" si="1"/>
        <v>0.97981344654907887</v>
      </c>
      <c r="S23">
        <f t="shared" si="1"/>
        <v>0.9756122918678809</v>
      </c>
      <c r="T23">
        <f t="shared" si="1"/>
        <v>0.97975926160952576</v>
      </c>
      <c r="U23">
        <f t="shared" si="1"/>
        <v>0.97673291808726725</v>
      </c>
      <c r="V23">
        <f t="shared" si="1"/>
        <v>0.97829555338724616</v>
      </c>
      <c r="W23">
        <f t="shared" si="1"/>
        <v>0.97658214535283716</v>
      </c>
      <c r="X23">
        <f t="shared" si="1"/>
        <v>0.97773493908335662</v>
      </c>
    </row>
  </sheetData>
  <mergeCells count="21">
    <mergeCell ref="W14:X14"/>
    <mergeCell ref="M14:N14"/>
    <mergeCell ref="O14:P14"/>
    <mergeCell ref="Q14:R14"/>
    <mergeCell ref="S14:T14"/>
    <mergeCell ref="U14:V14"/>
    <mergeCell ref="O2:P2"/>
    <mergeCell ref="Q2:R2"/>
    <mergeCell ref="S2:T2"/>
    <mergeCell ref="U2:V2"/>
    <mergeCell ref="C14:D14"/>
    <mergeCell ref="E14:F14"/>
    <mergeCell ref="G14:H14"/>
    <mergeCell ref="I14:J14"/>
    <mergeCell ref="K14:L14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Cengiz</dc:creator>
  <cp:lastModifiedBy>İbrahim Küçükkoç</cp:lastModifiedBy>
  <dcterms:created xsi:type="dcterms:W3CDTF">2015-06-05T18:19:34Z</dcterms:created>
  <dcterms:modified xsi:type="dcterms:W3CDTF">2026-01-31T10:20:09Z</dcterms:modified>
</cp:coreProperties>
</file>